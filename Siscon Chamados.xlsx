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DFC3B9DB-45AF-4593-B56D-D73E68F29B26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hamados" sheetId="1" r:id="rId1"/>
    <sheet name="Dashboard" sheetId="2" r:id="rId2"/>
  </sheets>
  <definedNames>
    <definedName name="_xlnm._FilterDatabase" localSheetId="0" hidden="1">Chamados!$A$4:$Q$4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1" i="1" l="1"/>
  <c r="I51" i="1"/>
  <c r="I48" i="1"/>
  <c r="I47" i="1"/>
  <c r="I46" i="1"/>
  <c r="I45" i="1"/>
  <c r="I44" i="1"/>
  <c r="I43" i="1"/>
  <c r="I42" i="1"/>
  <c r="I41" i="1"/>
  <c r="I38" i="1"/>
  <c r="I39" i="1"/>
  <c r="I40" i="1"/>
  <c r="I32" i="1"/>
  <c r="I33" i="1"/>
  <c r="I34" i="1"/>
  <c r="I35" i="1"/>
  <c r="I36" i="1"/>
  <c r="I37" i="1"/>
  <c r="I49" i="1"/>
  <c r="I54" i="1"/>
  <c r="I55" i="1"/>
  <c r="I56" i="1"/>
  <c r="I57" i="1"/>
  <c r="I58" i="1"/>
  <c r="I22" i="1"/>
  <c r="I19" i="1"/>
  <c r="I20" i="1"/>
  <c r="I13" i="1"/>
  <c r="P7" i="1"/>
  <c r="I12" i="1"/>
  <c r="P8" i="1"/>
  <c r="P9" i="1"/>
  <c r="P10" i="1"/>
  <c r="P11" i="1"/>
  <c r="P12" i="1"/>
  <c r="I25" i="1"/>
  <c r="I27" i="1"/>
  <c r="I28" i="1"/>
  <c r="O8" i="1"/>
  <c r="I18" i="1"/>
  <c r="I14" i="1"/>
  <c r="I15" i="1"/>
  <c r="I23" i="1"/>
  <c r="I24" i="1"/>
  <c r="I8" i="1"/>
  <c r="O9" i="1" s="1"/>
  <c r="I5" i="1"/>
  <c r="I6" i="1"/>
  <c r="I10" i="1"/>
  <c r="I11" i="1"/>
  <c r="O11" i="1" s="1"/>
  <c r="I9" i="1"/>
  <c r="O10" i="1" s="1"/>
  <c r="M19" i="1" l="1"/>
  <c r="M17" i="1"/>
  <c r="M16" i="1"/>
  <c r="M18" i="1"/>
  <c r="O12" i="1"/>
  <c r="N10" i="1"/>
  <c r="M9" i="1"/>
  <c r="O7" i="1"/>
  <c r="M7" i="1"/>
  <c r="N7" i="1"/>
  <c r="M11" i="1"/>
  <c r="N11" i="1"/>
  <c r="M12" i="1"/>
  <c r="N12" i="1"/>
  <c r="M10" i="1"/>
  <c r="Q10" i="1" s="1"/>
  <c r="M8" i="1"/>
  <c r="N9" i="1"/>
  <c r="N8" i="1"/>
  <c r="Q8" i="1" l="1"/>
  <c r="Q12" i="1"/>
  <c r="Q11" i="1"/>
  <c r="Q9" i="1"/>
  <c r="Q7" i="1"/>
  <c r="Q13" i="1"/>
</calcChain>
</file>

<file path=xl/sharedStrings.xml><?xml version="1.0" encoding="utf-8"?>
<sst xmlns="http://schemas.openxmlformats.org/spreadsheetml/2006/main" count="183" uniqueCount="79">
  <si>
    <t>Chamados Abertos no SISCON</t>
  </si>
  <si>
    <t>Módulo</t>
  </si>
  <si>
    <t>Protocolo</t>
  </si>
  <si>
    <t>Descrição</t>
  </si>
  <si>
    <t>Responsável</t>
  </si>
  <si>
    <t>Severidade</t>
  </si>
  <si>
    <t>Data de Abertura</t>
  </si>
  <si>
    <t>Prazo Final</t>
  </si>
  <si>
    <t>Status Atual</t>
  </si>
  <si>
    <t>Situação</t>
  </si>
  <si>
    <t>OBS</t>
  </si>
  <si>
    <t>Resumo por Módulo</t>
  </si>
  <si>
    <t>AG</t>
  </si>
  <si>
    <t>Alinhamento sobre parametrização de críticas/motivos de negação automáticos (AG / Conecta)</t>
  </si>
  <si>
    <t>Júlia</t>
  </si>
  <si>
    <t>Normal</t>
  </si>
  <si>
    <t>Pendente</t>
  </si>
  <si>
    <t>Dentro do prazo</t>
  </si>
  <si>
    <t>Fora do prazo</t>
  </si>
  <si>
    <t>Sem prazo</t>
  </si>
  <si>
    <t>Resolvido</t>
  </si>
  <si>
    <t>Total</t>
  </si>
  <si>
    <t>Ajuste de permissões e perfis de acesso no AG - Papel de Desenvolvedor aplicado a todos os usuários</t>
  </si>
  <si>
    <t>Baixa</t>
  </si>
  <si>
    <t>CATEN</t>
  </si>
  <si>
    <t>Erro de sincronização entre AG e Central de Atendimento – Atendimento a Prestador</t>
  </si>
  <si>
    <t>Lucas</t>
  </si>
  <si>
    <t>Não se aplica</t>
  </si>
  <si>
    <t>Aguardando Revisão de código</t>
  </si>
  <si>
    <t>SEM PRAZO</t>
  </si>
  <si>
    <t>PS</t>
  </si>
  <si>
    <t>Os detalhes da CARTEIRINHA não estão aparecendo para alguns beneficiários</t>
  </si>
  <si>
    <t>MOBE</t>
  </si>
  <si>
    <t>Acesso rede credenciada com perfil de DEPENDENTE não traz resultados</t>
  </si>
  <si>
    <t>Alta</t>
  </si>
  <si>
    <t>Agora nem o titular está pegando mais</t>
  </si>
  <si>
    <t>Acesso e busca na rede credenciada - Filtro município</t>
  </si>
  <si>
    <t>28/07/2026 </t>
  </si>
  <si>
    <t>LEAN</t>
  </si>
  <si>
    <t>Inconsistência no cálculo do prazo em horas úteis</t>
  </si>
  <si>
    <t>Média</t>
  </si>
  <si>
    <t>31/08/2026 </t>
  </si>
  <si>
    <t>COMPESAPREV- LEAN- RELATORIO- Regulações Vencidas</t>
  </si>
  <si>
    <t>Goldim</t>
  </si>
  <si>
    <t>19/08/2026 </t>
  </si>
  <si>
    <t>BCON</t>
  </si>
  <si>
    <t>Falha na integração entre AG Web e Central de Atendimento</t>
  </si>
  <si>
    <t>TOTAL:</t>
  </si>
  <si>
    <t>Erro ao buscar documento/relatório na Consulta de Autorizações (App)</t>
  </si>
  <si>
    <t>Resumo Geral</t>
  </si>
  <si>
    <t>MOBE | Erro no servidor ao tentar logar.</t>
  </si>
  <si>
    <t>Lean / AG (Integração e guias travadas)</t>
  </si>
  <si>
    <t>Máxima</t>
  </si>
  <si>
    <t>Resolvido dentro</t>
  </si>
  <si>
    <t>Portal não envia e-mails, recuperação de senha e processos parados desde 04/09</t>
  </si>
  <si>
    <t>Dúvida sobre o local para salvar/exportar a Guia Executada no Portal do Prestador</t>
  </si>
  <si>
    <t>Homologar</t>
  </si>
  <si>
    <t>Dúvida não sanada. Pediram DV.</t>
  </si>
  <si>
    <t>Resolvido fora</t>
  </si>
  <si>
    <t>Liberação de Relatório Geral de Execução e Biometria / Correção de Bloqueios</t>
  </si>
  <si>
    <t>Ajuste no tempo de sessão ativa (timeout) do sistema Lean.</t>
  </si>
  <si>
    <t>Atualizado:</t>
  </si>
  <si>
    <t xml:space="preserve">Alteração nome prestador </t>
  </si>
  <si>
    <t>INFORMATIVOS CONECTA - Como vincular imagem</t>
  </si>
  <si>
    <t>Histórico financeiro sem a informação individual de todos os beneficiários</t>
  </si>
  <si>
    <t>Niécia</t>
  </si>
  <si>
    <t>Erro de divergência de cadastro entre o AG e o LEAN</t>
  </si>
  <si>
    <t xml:space="preserve">	Extrato de Utilização com valores de coparticipações sem a limitação de PF e antes do faturamento ser concluído	</t>
  </si>
  <si>
    <t>COMPESAPREV - SISTEMA NÃO ESTÁ CONSIDERANDO LIMITADOR PF PARA REEMBOLSO</t>
  </si>
  <si>
    <t>Daniel</t>
  </si>
  <si>
    <t>COMPESPREV - Arquivo retorno com erro na importação</t>
  </si>
  <si>
    <t>Homologando</t>
  </si>
  <si>
    <t>CompesaPrev - Cadastro de Cooperados</t>
  </si>
  <si>
    <t>Verificando</t>
  </si>
  <si>
    <t>CONECTA - XML não sai do estado de "Em Processamento"</t>
  </si>
  <si>
    <t xml:space="preserve">2614334	</t>
  </si>
  <si>
    <t>CONECTA - Erro na execução de guias | pop-up e bloqueio por biometria</t>
  </si>
  <si>
    <t>Erro 504 Gateway Time-out no AG e na Central de Atendimento</t>
  </si>
  <si>
    <t>Dashboard — Chamados SISCON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</si>
</sst>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6"/>
      <color rgb="FF1F3864"/>
      <name val="Calibri"/>
      <charset val="1"/>
    </font>
    <font>
      <i/>
      <sz val="10"/>
      <color rgb="FF595959"/>
      <name val="Calibri"/>
      <charset val="1"/>
    </font>
    <font>
      <b/>
      <sz val="11"/>
      <color rgb="FFFFFFFF"/>
      <name val="Calibri"/>
      <charset val="1"/>
    </font>
    <font>
      <b/>
      <sz val="10.5"/>
      <name val="Calibri"/>
      <charset val="1"/>
    </font>
    <font>
      <sz val="10.5"/>
      <name val="Calibri"/>
      <charset val="1"/>
    </font>
    <font>
      <sz val="11"/>
      <color rgb="FF1F1F1F"/>
      <name val="Calibri"/>
      <scheme val="minor"/>
    </font>
    <font>
      <sz val="10.5"/>
      <name val="Calibri"/>
      <scheme val="minor"/>
    </font>
    <font>
      <sz val="10.5"/>
      <name val="Calibri"/>
      <family val="2"/>
      <charset val="1"/>
    </font>
    <font>
      <b/>
      <sz val="11"/>
      <color rgb="FF1F1F1F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14" fontId="6" fillId="3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14" fontId="7" fillId="3" borderId="4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14" fontId="6" fillId="4" borderId="4" xfId="0" applyNumberFormat="1" applyFont="1" applyFill="1" applyBorder="1" applyAlignment="1">
      <alignment horizontal="center" vertical="center"/>
    </xf>
    <xf numFmtId="1" fontId="5" fillId="3" borderId="6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14" fontId="6" fillId="3" borderId="5" xfId="0" applyNumberFormat="1" applyFont="1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5" borderId="4" xfId="0" applyFont="1" applyFill="1" applyBorder="1"/>
    <xf numFmtId="14" fontId="0" fillId="5" borderId="4" xfId="0" applyNumberFormat="1" applyFill="1" applyBorder="1"/>
    <xf numFmtId="0" fontId="5" fillId="0" borderId="3" xfId="0" applyFont="1" applyBorder="1" applyAlignment="1">
      <alignment horizontal="center" vertical="center" wrapText="1"/>
    </xf>
    <xf numFmtId="20" fontId="0" fillId="5" borderId="4" xfId="0" applyNumberFormat="1" applyFill="1" applyBorder="1"/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4" fillId="4" borderId="1" xfId="0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14" fontId="9" fillId="4" borderId="4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14" fontId="9" fillId="3" borderId="4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14" fontId="9" fillId="4" borderId="5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1" fontId="4" fillId="3" borderId="6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 wrapText="1"/>
    </xf>
    <xf numFmtId="14" fontId="9" fillId="3" borderId="5" xfId="0" applyNumberFormat="1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3"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C0392B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Dentro do prazo x Fora do prazo — por Módulo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Chamados!M5</c:f>
              <c:strCache>
                <c:ptCount val="1"/>
                <c:pt idx="0">
                  <c:v>Dentro do prazo</c:v>
                </c:pt>
              </c:strCache>
            </c:strRef>
          </c:tx>
          <c:spPr>
            <a:solidFill>
              <a:srgbClr val="2E7D3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Chamados!$L$7:$L$11</c:f>
              <c:strCache>
                <c:ptCount val="5"/>
                <c:pt idx="0">
                  <c:v>AG</c:v>
                </c:pt>
                <c:pt idx="1">
                  <c:v>CATEN</c:v>
                </c:pt>
                <c:pt idx="2">
                  <c:v>PS</c:v>
                </c:pt>
                <c:pt idx="3">
                  <c:v>MOBE</c:v>
                </c:pt>
                <c:pt idx="4">
                  <c:v>LEAN</c:v>
                </c:pt>
              </c:strCache>
            </c:strRef>
          </c:cat>
          <c:val>
            <c:numRef>
              <c:f>Chamados!$M$7:$M$11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0-4C8D-AEC3-7C6E10EC5756}"/>
            </c:ext>
          </c:extLst>
        </c:ser>
        <c:ser>
          <c:idx val="1"/>
          <c:order val="1"/>
          <c:tx>
            <c:strRef>
              <c:f>Chamados!N5</c:f>
              <c:strCache>
                <c:ptCount val="1"/>
                <c:pt idx="0">
                  <c:v>Fora do prazo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Chamados!$L$7:$L$11</c:f>
              <c:strCache>
                <c:ptCount val="5"/>
                <c:pt idx="0">
                  <c:v>AG</c:v>
                </c:pt>
                <c:pt idx="1">
                  <c:v>CATEN</c:v>
                </c:pt>
                <c:pt idx="2">
                  <c:v>PS</c:v>
                </c:pt>
                <c:pt idx="3">
                  <c:v>MOBE</c:v>
                </c:pt>
                <c:pt idx="4">
                  <c:v>LEAN</c:v>
                </c:pt>
              </c:strCache>
            </c:strRef>
          </c:cat>
          <c:val>
            <c:numRef>
              <c:f>Chamados!$N$7:$N$11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0-4C8D-AEC3-7C6E10EC5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65336"/>
        <c:axId val="38957260"/>
      </c:barChart>
      <c:catAx>
        <c:axId val="96653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Módulo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957260"/>
        <c:crosses val="autoZero"/>
        <c:auto val="1"/>
        <c:lblAlgn val="ctr"/>
        <c:lblOffset val="100"/>
        <c:noMultiLvlLbl val="0"/>
      </c:catAx>
      <c:valAx>
        <c:axId val="389572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Qtde. de chamados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653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Proporção Geral — Dentro x Fora do prazo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Chamados!M15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Chamados!$L$16:$L$17</c:f>
              <c:strCache>
                <c:ptCount val="2"/>
                <c:pt idx="0">
                  <c:v>Dentro do prazo</c:v>
                </c:pt>
                <c:pt idx="1">
                  <c:v>Fora do prazo</c:v>
                </c:pt>
              </c:strCache>
            </c:strRef>
          </c:cat>
          <c:val>
            <c:numRef>
              <c:f>Chamados!$M$16:$M$17</c:f>
              <c:numCache>
                <c:formatCode>General</c:formatCode>
                <c:ptCount val="2"/>
                <c:pt idx="0">
                  <c:v>7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FC-4F24-8448-980F45519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de Chamados por Módulo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Chamados!Q5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E539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Chamados!$L$7:$L$11</c:f>
              <c:strCache>
                <c:ptCount val="5"/>
                <c:pt idx="0">
                  <c:v>AG</c:v>
                </c:pt>
                <c:pt idx="1">
                  <c:v>CATEN</c:v>
                </c:pt>
                <c:pt idx="2">
                  <c:v>PS</c:v>
                </c:pt>
                <c:pt idx="3">
                  <c:v>MOBE</c:v>
                </c:pt>
                <c:pt idx="4">
                  <c:v>LEAN</c:v>
                </c:pt>
              </c:strCache>
            </c:strRef>
          </c:cat>
          <c:val>
            <c:numRef>
              <c:f>Chamados!$Q$7:$Q$11</c:f>
              <c:numCache>
                <c:formatCode>General</c:formatCode>
                <c:ptCount val="5"/>
                <c:pt idx="0">
                  <c:v>7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7-4F4A-A977-277EE58F0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20716"/>
        <c:axId val="67700746"/>
      </c:barChart>
      <c:catAx>
        <c:axId val="424207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Módulo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700746"/>
        <c:crosses val="autoZero"/>
        <c:auto val="1"/>
        <c:lblAlgn val="ctr"/>
        <c:lblOffset val="100"/>
        <c:noMultiLvlLbl val="0"/>
      </c:catAx>
      <c:valAx>
        <c:axId val="677007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Qtde. de chamados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4207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9</xdr:col>
      <xdr:colOff>47625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361950</xdr:colOff>
      <xdr:row>14</xdr:row>
      <xdr:rowOff>9525</xdr:rowOff>
    </xdr:from>
    <xdr:to>
      <xdr:col>18</xdr:col>
      <xdr:colOff>401190</xdr:colOff>
      <xdr:row>31</xdr:row>
      <xdr:rowOff>10605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180975</xdr:rowOff>
    </xdr:from>
    <xdr:to>
      <xdr:col>9</xdr:col>
      <xdr:colOff>38100</xdr:colOff>
      <xdr:row>38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"/>
  <sheetViews>
    <sheetView showGridLines="0" tabSelected="1" zoomScaleNormal="100" workbookViewId="0">
      <pane ySplit="4" topLeftCell="A22" activePane="bottomLeft" state="frozen"/>
      <selection pane="bottomLeft" activeCell="I34" sqref="I34"/>
    </sheetView>
  </sheetViews>
  <sheetFormatPr defaultColWidth="8.7109375" defaultRowHeight="15"/>
  <cols>
    <col min="1" max="1" width="10" customWidth="1"/>
    <col min="2" max="2" width="13" customWidth="1"/>
    <col min="3" max="3" width="52" customWidth="1"/>
    <col min="4" max="4" width="14" customWidth="1"/>
    <col min="5" max="5" width="16.85546875" customWidth="1"/>
    <col min="6" max="6" width="16" customWidth="1"/>
    <col min="7" max="7" width="14" customWidth="1"/>
    <col min="8" max="9" width="16" customWidth="1"/>
    <col min="10" max="10" width="21.7109375" customWidth="1"/>
    <col min="12" max="12" width="17" customWidth="1"/>
    <col min="13" max="13" width="15" customWidth="1"/>
    <col min="14" max="16" width="14" customWidth="1"/>
    <col min="17" max="17" width="10" customWidth="1"/>
    <col min="20" max="20" width="13.42578125" customWidth="1"/>
  </cols>
  <sheetData>
    <row r="1" spans="1:17" ht="25.5" customHeight="1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32"/>
    </row>
    <row r="2" spans="1:17" ht="15.75" customHeight="1">
      <c r="A2" s="64"/>
      <c r="B2" s="64"/>
      <c r="C2" s="64"/>
      <c r="D2" s="64"/>
      <c r="E2" s="64"/>
      <c r="F2" s="64"/>
      <c r="G2" s="64"/>
      <c r="H2" s="64"/>
      <c r="I2" s="64"/>
      <c r="J2" s="33"/>
    </row>
    <row r="4" spans="1:17" ht="30" customHeight="1">
      <c r="A4" s="1" t="s">
        <v>1</v>
      </c>
      <c r="B4" s="1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4" t="s">
        <v>10</v>
      </c>
      <c r="L4" s="2" t="s">
        <v>11</v>
      </c>
    </row>
    <row r="5" spans="1:17" ht="30.75">
      <c r="A5" s="11" t="s">
        <v>12</v>
      </c>
      <c r="B5" s="12">
        <v>2608637</v>
      </c>
      <c r="C5" s="5" t="s">
        <v>13</v>
      </c>
      <c r="D5" s="6" t="s">
        <v>14</v>
      </c>
      <c r="E5" s="7" t="s">
        <v>15</v>
      </c>
      <c r="F5" s="8">
        <v>46265</v>
      </c>
      <c r="G5" s="8">
        <v>46279</v>
      </c>
      <c r="H5" s="7" t="s">
        <v>16</v>
      </c>
      <c r="I5" s="55" t="str">
        <f ca="1">IF(G5="","",IF(H5="Concluído","Concluído",IF(TODAY()&gt;G5,"Fora do prazo","Dentro do prazo")))</f>
        <v>Fora do prazo</v>
      </c>
      <c r="J5" s="6"/>
      <c r="L5" s="1" t="s">
        <v>1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</row>
    <row r="6" spans="1:17" ht="28.5">
      <c r="A6" s="13" t="s">
        <v>12</v>
      </c>
      <c r="B6" s="14">
        <v>2609107</v>
      </c>
      <c r="C6" s="15" t="s">
        <v>22</v>
      </c>
      <c r="D6" s="16" t="s">
        <v>14</v>
      </c>
      <c r="E6" s="17" t="s">
        <v>23</v>
      </c>
      <c r="F6" s="18">
        <v>46266</v>
      </c>
      <c r="G6" s="18">
        <v>46300</v>
      </c>
      <c r="H6" s="17" t="s">
        <v>16</v>
      </c>
      <c r="I6" s="56" t="str">
        <f ca="1">IF(G6="","",IF(H6="Concluído","Concluído",IF(TODAY()&gt;G6,"Fora do prazo","Dentro do prazo")))</f>
        <v>Dentro do prazo</v>
      </c>
      <c r="J6" s="16"/>
      <c r="L6" s="1"/>
      <c r="M6" s="1"/>
      <c r="N6" s="1"/>
      <c r="O6" s="1"/>
      <c r="P6" s="1"/>
      <c r="Q6" s="1"/>
    </row>
    <row r="7" spans="1:17" ht="28.5">
      <c r="A7" s="11" t="s">
        <v>24</v>
      </c>
      <c r="B7" s="12">
        <v>2524577</v>
      </c>
      <c r="C7" s="5" t="s">
        <v>25</v>
      </c>
      <c r="D7" s="6" t="s">
        <v>26</v>
      </c>
      <c r="E7" s="9" t="s">
        <v>27</v>
      </c>
      <c r="F7" s="10">
        <v>46056</v>
      </c>
      <c r="G7" s="10"/>
      <c r="H7" s="9" t="s">
        <v>28</v>
      </c>
      <c r="I7" s="55" t="s">
        <v>29</v>
      </c>
      <c r="J7" s="6"/>
      <c r="L7" s="3" t="s">
        <v>12</v>
      </c>
      <c r="M7" s="3">
        <f ca="1">COUNTIFS($A$5:$A$40,L7,$I$5:$I$40,"Dentro do prazo")</f>
        <v>3</v>
      </c>
      <c r="N7" s="3">
        <f ca="1">COUNTIFS($A$5:$A$40,L7,$I$5:$I$40,"Fora do prazo")</f>
        <v>2</v>
      </c>
      <c r="O7" s="3">
        <f ca="1">COUNTIFS($A$5:$A$40,L7,$I$5:$I$40,"SEM PRAZO")</f>
        <v>0</v>
      </c>
      <c r="P7" s="3">
        <f>COUNTIFS($A$5:$A$40,L7,$H$5:$H$40,"Resolvido")</f>
        <v>2</v>
      </c>
      <c r="Q7" s="3">
        <f ca="1">M7+N7+O7+P7</f>
        <v>7</v>
      </c>
    </row>
    <row r="8" spans="1:17" ht="34.5" customHeight="1">
      <c r="A8" s="34" t="s">
        <v>30</v>
      </c>
      <c r="B8" s="35">
        <v>2597515</v>
      </c>
      <c r="C8" s="36" t="s">
        <v>31</v>
      </c>
      <c r="D8" s="37" t="s">
        <v>14</v>
      </c>
      <c r="E8" s="38" t="s">
        <v>27</v>
      </c>
      <c r="F8" s="39">
        <v>46239</v>
      </c>
      <c r="G8" s="39">
        <v>46247</v>
      </c>
      <c r="H8" s="38" t="s">
        <v>16</v>
      </c>
      <c r="I8" s="17" t="str">
        <f ca="1">IF(G8="","",IF(H8="Concluído","Concluído",IF(TODAY()&gt;G8,"Fora do prazo","Dentro do prazo")))</f>
        <v>Fora do prazo</v>
      </c>
      <c r="J8" s="17"/>
      <c r="L8" s="3" t="s">
        <v>24</v>
      </c>
      <c r="M8" s="3">
        <f ca="1">COUNTIFS($A$5:$A$40,L8,$I$5:$I$40,"Dentro do prazo")</f>
        <v>0</v>
      </c>
      <c r="N8" s="3">
        <f ca="1">COUNTIFS($A$5:$A$40,L8,$I$5:$I$40,"Fora do prazo")</f>
        <v>1</v>
      </c>
      <c r="O8" s="3">
        <f ca="1">COUNTIFS($A$5:$A$40,L8,$I$5:$I$40,"SEM PRAZO")</f>
        <v>1</v>
      </c>
      <c r="P8" s="3">
        <f>COUNTIFS($A$5:$A$40,L8,$H$5:$H$40,"Resolvido")</f>
        <v>0</v>
      </c>
      <c r="Q8" s="3">
        <f t="shared" ref="Q8:Q12" ca="1" si="0">M8+N8+O8+P8</f>
        <v>2</v>
      </c>
    </row>
    <row r="9" spans="1:17" ht="28.5">
      <c r="A9" s="40" t="s">
        <v>32</v>
      </c>
      <c r="B9" s="41">
        <v>2597495</v>
      </c>
      <c r="C9" s="42" t="s">
        <v>33</v>
      </c>
      <c r="D9" s="43" t="s">
        <v>14</v>
      </c>
      <c r="E9" s="44" t="s">
        <v>34</v>
      </c>
      <c r="F9" s="45">
        <v>46239</v>
      </c>
      <c r="G9" s="45">
        <v>46245</v>
      </c>
      <c r="H9" s="57" t="s">
        <v>16</v>
      </c>
      <c r="I9" s="21" t="str">
        <f ca="1">IF(G9="","",IF(H9="Concluído","Concluído",IF(TODAY()&gt;G9,"Fora do prazo","Dentro do prazo")))</f>
        <v>Fora do prazo</v>
      </c>
      <c r="J9" s="6" t="s">
        <v>35</v>
      </c>
      <c r="L9" s="3" t="s">
        <v>30</v>
      </c>
      <c r="M9" s="3">
        <f ca="1">COUNTIFS($A$5:$A$40,L9,$I$5:$I$40,"Dentro do prazo")</f>
        <v>0</v>
      </c>
      <c r="N9" s="3">
        <f ca="1">COUNTIFS($A$5:$A$40,L9,$I$5:$I$40,"Fora do prazo")</f>
        <v>1</v>
      </c>
      <c r="O9" s="3">
        <f ca="1">COUNTIFS($A$5:$A$40,L9,$I$5:$I$40,"SEM PRAZO")</f>
        <v>0</v>
      </c>
      <c r="P9" s="3">
        <f>COUNTIFS($A$5:$A$40,L9,$H$5:$H$40,"Resolvido")</f>
        <v>1</v>
      </c>
      <c r="Q9" s="3">
        <f t="shared" ca="1" si="0"/>
        <v>2</v>
      </c>
    </row>
    <row r="10" spans="1:17" ht="27" customHeight="1">
      <c r="A10" s="34" t="s">
        <v>32</v>
      </c>
      <c r="B10" s="35">
        <v>2593529</v>
      </c>
      <c r="C10" s="36" t="s">
        <v>36</v>
      </c>
      <c r="D10" s="37" t="s">
        <v>14</v>
      </c>
      <c r="E10" s="46" t="s">
        <v>34</v>
      </c>
      <c r="F10" s="46" t="s">
        <v>37</v>
      </c>
      <c r="G10" s="47">
        <v>46237</v>
      </c>
      <c r="H10" s="38" t="s">
        <v>16</v>
      </c>
      <c r="I10" s="17" t="str">
        <f ca="1">IF(G10="","",IF(H10="Concluído","Concluído",IF(TODAY()&gt;G10,"Fora do prazo","Dentro do prazo")))</f>
        <v>Fora do prazo</v>
      </c>
      <c r="J10" s="17"/>
      <c r="L10" s="3" t="s">
        <v>32</v>
      </c>
      <c r="M10" s="3">
        <f ca="1">COUNTIFS($A$5:$A$40,L10,$I$5:$I$40,"Dentro do prazo")</f>
        <v>1</v>
      </c>
      <c r="N10" s="3">
        <f ca="1">COUNTIFS($A$5:$A$40,L10,$I$5:$I$40,"Fora do prazo")</f>
        <v>5</v>
      </c>
      <c r="O10" s="3">
        <f ca="1">COUNTIFS($A$5:$A$40,L10,$I$5:$I$40,"SEM PRAZO")</f>
        <v>0</v>
      </c>
      <c r="P10" s="3">
        <f>COUNTIFS($A$5:$A$40,L10,$H$5:$H$40,"Resolvido")</f>
        <v>0</v>
      </c>
      <c r="Q10" s="3">
        <f t="shared" ca="1" si="0"/>
        <v>6</v>
      </c>
    </row>
    <row r="11" spans="1:17" ht="30.75" customHeight="1">
      <c r="A11" s="26" t="s">
        <v>38</v>
      </c>
      <c r="B11" s="19">
        <v>2608731</v>
      </c>
      <c r="C11" s="20" t="s">
        <v>39</v>
      </c>
      <c r="D11" s="21" t="s">
        <v>14</v>
      </c>
      <c r="E11" s="22" t="s">
        <v>40</v>
      </c>
      <c r="F11" s="23" t="s">
        <v>41</v>
      </c>
      <c r="G11" s="24">
        <v>46279</v>
      </c>
      <c r="H11" s="23" t="s">
        <v>16</v>
      </c>
      <c r="I11" s="21" t="str">
        <f ca="1">IF(G11="","",IF(H11="Concluído","Concluído",IF(TODAY()&gt;G11,"Fora do prazo","Dentro do prazo")))</f>
        <v>Fora do prazo</v>
      </c>
      <c r="J11" s="6"/>
      <c r="L11" s="3" t="s">
        <v>38</v>
      </c>
      <c r="M11" s="3">
        <f ca="1">COUNTIFS($A$5:$A$40,L11,$I$5:$I$40,"Dentro do prazo")</f>
        <v>1</v>
      </c>
      <c r="N11" s="3">
        <f ca="1">COUNTIFS($A$5:$A$40,L11,$I$5:$I$40,"Fora do prazo")</f>
        <v>2</v>
      </c>
      <c r="O11" s="3">
        <f ca="1">COUNTIFS($A$5:$A$40,L11,$I$5:$I$40,"SEM PRAZO")</f>
        <v>0</v>
      </c>
      <c r="P11" s="3">
        <f>COUNTIFS($A$5:$A$40,L11,$H$5:$H$40,"Resolvido")</f>
        <v>1</v>
      </c>
      <c r="Q11" s="3">
        <f t="shared" ca="1" si="0"/>
        <v>4</v>
      </c>
    </row>
    <row r="12" spans="1:17" ht="30.75" customHeight="1">
      <c r="A12" s="37" t="s">
        <v>38</v>
      </c>
      <c r="B12" s="53">
        <v>2603668</v>
      </c>
      <c r="C12" s="36" t="s">
        <v>42</v>
      </c>
      <c r="D12" s="37" t="s">
        <v>43</v>
      </c>
      <c r="E12" s="38" t="s">
        <v>34</v>
      </c>
      <c r="F12" s="38" t="s">
        <v>44</v>
      </c>
      <c r="G12" s="39">
        <v>46259</v>
      </c>
      <c r="H12" s="17" t="s">
        <v>16</v>
      </c>
      <c r="I12" s="17" t="str">
        <f ca="1">IF(G12="","",IF(H12="Concluído","Concluído",IF(TODAY()&gt;G12,"Fora do prazo","Dentro do prazo")))</f>
        <v>Fora do prazo</v>
      </c>
      <c r="J12" s="17"/>
      <c r="L12" s="31" t="s">
        <v>45</v>
      </c>
      <c r="M12" s="31">
        <f ca="1">COUNTIFS($A$5:$A$40,L12,$I$5:$I$40,"Dentro do prazo")</f>
        <v>2</v>
      </c>
      <c r="N12" s="31">
        <f ca="1">COUNTIFS($A$5:$A$40,L12,$I$5:$I$40,"Fora do prazo")</f>
        <v>2</v>
      </c>
      <c r="O12" s="3">
        <f ca="1">COUNTIFS($A$5:$A$40,L12,$I$5:$I$40,"SEM PRAZO")</f>
        <v>0</v>
      </c>
      <c r="P12" s="3">
        <f>COUNTIFS($A$5:$A$40,L12,$H$5:$H$40,"Resolvido")</f>
        <v>2</v>
      </c>
      <c r="Q12" s="3">
        <f t="shared" ca="1" si="0"/>
        <v>6</v>
      </c>
    </row>
    <row r="13" spans="1:17" ht="32.25" customHeight="1">
      <c r="A13" s="48" t="s">
        <v>24</v>
      </c>
      <c r="B13" s="49">
        <v>2609551</v>
      </c>
      <c r="C13" s="50" t="s">
        <v>46</v>
      </c>
      <c r="D13" s="51" t="s">
        <v>14</v>
      </c>
      <c r="E13" s="44" t="s">
        <v>34</v>
      </c>
      <c r="F13" s="52">
        <v>46267</v>
      </c>
      <c r="G13" s="52">
        <v>46273</v>
      </c>
      <c r="H13" s="57" t="s">
        <v>16</v>
      </c>
      <c r="I13" s="56" t="str">
        <f t="shared" ref="I13:I24" ca="1" si="1">IF(G13="","",IF(H13="Concluído","Concluído",IF(TODAY()&gt;G13,"Fora do prazo","Dentro do prazo")))</f>
        <v>Fora do prazo</v>
      </c>
      <c r="J13" s="6"/>
      <c r="P13" t="s">
        <v>47</v>
      </c>
      <c r="Q13">
        <f ca="1">SUM(Q7:Q12)</f>
        <v>27</v>
      </c>
    </row>
    <row r="14" spans="1:17" ht="33" customHeight="1">
      <c r="A14" s="13" t="s">
        <v>32</v>
      </c>
      <c r="B14" s="25">
        <v>2609985</v>
      </c>
      <c r="C14" s="15" t="s">
        <v>48</v>
      </c>
      <c r="D14" s="16" t="s">
        <v>14</v>
      </c>
      <c r="E14" s="17" t="s">
        <v>23</v>
      </c>
      <c r="F14" s="18">
        <v>46267</v>
      </c>
      <c r="G14" s="18">
        <v>46301</v>
      </c>
      <c r="H14" s="17" t="s">
        <v>16</v>
      </c>
      <c r="I14" s="56" t="str">
        <f t="shared" ca="1" si="1"/>
        <v>Dentro do prazo</v>
      </c>
      <c r="J14" s="16"/>
      <c r="L14" s="2" t="s">
        <v>49</v>
      </c>
    </row>
    <row r="15" spans="1:17" ht="24.75" customHeight="1">
      <c r="A15" s="48" t="s">
        <v>32</v>
      </c>
      <c r="B15" s="49">
        <v>2610876</v>
      </c>
      <c r="C15" s="50" t="s">
        <v>50</v>
      </c>
      <c r="D15" s="51" t="s">
        <v>14</v>
      </c>
      <c r="E15" s="44" t="s">
        <v>34</v>
      </c>
      <c r="F15" s="52">
        <v>46269</v>
      </c>
      <c r="G15" s="52">
        <v>46276</v>
      </c>
      <c r="H15" s="57" t="s">
        <v>16</v>
      </c>
      <c r="I15" s="21" t="str">
        <f t="shared" ca="1" si="1"/>
        <v>Fora do prazo</v>
      </c>
      <c r="J15" s="6"/>
      <c r="L15" s="1" t="s">
        <v>9</v>
      </c>
      <c r="M15" s="1" t="s">
        <v>21</v>
      </c>
    </row>
    <row r="16" spans="1:17" ht="27.75" customHeight="1">
      <c r="A16" s="16" t="s">
        <v>38</v>
      </c>
      <c r="B16" s="25">
        <v>2611539</v>
      </c>
      <c r="C16" s="15" t="s">
        <v>51</v>
      </c>
      <c r="D16" s="16" t="s">
        <v>14</v>
      </c>
      <c r="E16" s="17" t="s">
        <v>52</v>
      </c>
      <c r="F16" s="18">
        <v>46273</v>
      </c>
      <c r="G16" s="18">
        <v>46275</v>
      </c>
      <c r="H16" s="17" t="s">
        <v>20</v>
      </c>
      <c r="I16" s="56" t="s">
        <v>53</v>
      </c>
      <c r="J16" s="16"/>
      <c r="L16" s="3" t="s">
        <v>17</v>
      </c>
      <c r="M16" s="3">
        <f ca="1">COUNTIF($I$5:$I$40,"Dentro do prazo")</f>
        <v>7</v>
      </c>
    </row>
    <row r="17" spans="1:13" ht="28.5">
      <c r="A17" s="26" t="s">
        <v>30</v>
      </c>
      <c r="B17" s="19">
        <v>2611552</v>
      </c>
      <c r="C17" s="20" t="s">
        <v>54</v>
      </c>
      <c r="D17" s="21" t="s">
        <v>14</v>
      </c>
      <c r="E17" s="7" t="s">
        <v>52</v>
      </c>
      <c r="F17" s="24">
        <v>252</v>
      </c>
      <c r="G17" s="24">
        <v>46275</v>
      </c>
      <c r="H17" s="23" t="s">
        <v>20</v>
      </c>
      <c r="I17" s="21" t="s">
        <v>53</v>
      </c>
      <c r="J17" s="6"/>
      <c r="L17" s="29" t="s">
        <v>18</v>
      </c>
      <c r="M17" s="29">
        <f ca="1">COUNTIF($I$5:$I$40,"Fora do prazo")</f>
        <v>13</v>
      </c>
    </row>
    <row r="18" spans="1:13" ht="49.5" customHeight="1">
      <c r="A18" s="16" t="s">
        <v>45</v>
      </c>
      <c r="B18" s="25">
        <v>2611848</v>
      </c>
      <c r="C18" s="15" t="s">
        <v>55</v>
      </c>
      <c r="D18" s="16" t="s">
        <v>14</v>
      </c>
      <c r="E18" s="17" t="s">
        <v>15</v>
      </c>
      <c r="F18" s="18">
        <v>46273</v>
      </c>
      <c r="G18" s="18">
        <v>46286</v>
      </c>
      <c r="H18" s="17" t="s">
        <v>56</v>
      </c>
      <c r="I18" s="56" t="str">
        <f t="shared" ca="1" si="1"/>
        <v>Dentro do prazo</v>
      </c>
      <c r="J18" s="16" t="s">
        <v>57</v>
      </c>
      <c r="L18" s="29" t="s">
        <v>58</v>
      </c>
      <c r="M18" s="29">
        <f ca="1">COUNTIF($I$5:$I$40,"Resolvido Fora")</f>
        <v>1</v>
      </c>
    </row>
    <row r="19" spans="1:13" ht="51" customHeight="1">
      <c r="A19" s="26" t="s">
        <v>45</v>
      </c>
      <c r="B19" s="19">
        <v>2596538</v>
      </c>
      <c r="C19" s="20" t="s">
        <v>59</v>
      </c>
      <c r="D19" s="21" t="s">
        <v>14</v>
      </c>
      <c r="E19" s="7" t="s">
        <v>15</v>
      </c>
      <c r="F19" s="24">
        <v>46238</v>
      </c>
      <c r="G19" s="24">
        <v>46268</v>
      </c>
      <c r="H19" s="23" t="s">
        <v>56</v>
      </c>
      <c r="I19" s="21" t="str">
        <f t="shared" ca="1" si="1"/>
        <v>Fora do prazo</v>
      </c>
      <c r="J19" s="6" t="s">
        <v>57</v>
      </c>
      <c r="L19" s="29" t="s">
        <v>53</v>
      </c>
      <c r="M19" s="29">
        <f ca="1">COUNTIF($I$5:$I$40,"Resolvido dentro")</f>
        <v>5</v>
      </c>
    </row>
    <row r="20" spans="1:13" ht="30" customHeight="1">
      <c r="A20" s="16" t="s">
        <v>38</v>
      </c>
      <c r="B20" s="25">
        <v>2613202</v>
      </c>
      <c r="C20" s="15" t="s">
        <v>60</v>
      </c>
      <c r="D20" s="16" t="s">
        <v>14</v>
      </c>
      <c r="E20" s="17" t="s">
        <v>15</v>
      </c>
      <c r="F20" s="18">
        <v>46276</v>
      </c>
      <c r="G20" s="18">
        <v>46288</v>
      </c>
      <c r="H20" s="17" t="s">
        <v>16</v>
      </c>
      <c r="I20" s="56" t="str">
        <f t="shared" ca="1" si="1"/>
        <v>Dentro do prazo</v>
      </c>
      <c r="J20" s="16"/>
      <c r="L20" s="27" t="s">
        <v>61</v>
      </c>
      <c r="M20" s="28">
        <v>46279</v>
      </c>
    </row>
    <row r="21" spans="1:13" ht="33.75" customHeight="1">
      <c r="A21" s="26" t="s">
        <v>12</v>
      </c>
      <c r="B21" s="19">
        <v>2613646</v>
      </c>
      <c r="C21" s="20" t="s">
        <v>62</v>
      </c>
      <c r="D21" s="21" t="s">
        <v>14</v>
      </c>
      <c r="E21" s="7" t="s">
        <v>40</v>
      </c>
      <c r="F21" s="24">
        <v>46276</v>
      </c>
      <c r="G21" s="24">
        <v>46289</v>
      </c>
      <c r="H21" s="23" t="s">
        <v>20</v>
      </c>
      <c r="I21" s="21" t="s">
        <v>53</v>
      </c>
      <c r="J21" s="6"/>
      <c r="M21" s="30">
        <v>0.58333333333333337</v>
      </c>
    </row>
    <row r="22" spans="1:13" ht="39.75" customHeight="1">
      <c r="A22" s="16" t="s">
        <v>45</v>
      </c>
      <c r="B22" s="25">
        <v>2614135</v>
      </c>
      <c r="C22" s="15" t="s">
        <v>63</v>
      </c>
      <c r="D22" s="16" t="s">
        <v>14</v>
      </c>
      <c r="E22" s="17" t="s">
        <v>15</v>
      </c>
      <c r="F22" s="18">
        <v>46279</v>
      </c>
      <c r="G22" s="18">
        <v>46289</v>
      </c>
      <c r="H22" s="17" t="s">
        <v>16</v>
      </c>
      <c r="I22" s="56" t="str">
        <f ca="1">IF(G22="","",IF(H22="Concluído","Concluído",IF(TODAY()&gt;G22,"Fora do prazo","Dentro do prazo")))</f>
        <v>Dentro do prazo</v>
      </c>
      <c r="J22" s="16"/>
    </row>
    <row r="23" spans="1:13" ht="28.5">
      <c r="A23" s="26" t="s">
        <v>32</v>
      </c>
      <c r="B23" s="19">
        <v>2611692</v>
      </c>
      <c r="C23" s="20" t="s">
        <v>64</v>
      </c>
      <c r="D23" s="21" t="s">
        <v>65</v>
      </c>
      <c r="E23" s="7" t="s">
        <v>34</v>
      </c>
      <c r="F23" s="24">
        <v>46273</v>
      </c>
      <c r="G23" s="24">
        <v>46279</v>
      </c>
      <c r="H23" s="23" t="s">
        <v>16</v>
      </c>
      <c r="I23" s="21" t="str">
        <f t="shared" ca="1" si="1"/>
        <v>Fora do prazo</v>
      </c>
      <c r="J23" s="6"/>
    </row>
    <row r="24" spans="1:13" ht="28.5" customHeight="1">
      <c r="A24" s="16" t="s">
        <v>12</v>
      </c>
      <c r="B24" s="25">
        <v>2611521</v>
      </c>
      <c r="C24" s="15" t="s">
        <v>66</v>
      </c>
      <c r="D24" s="16" t="s">
        <v>65</v>
      </c>
      <c r="E24" s="17" t="s">
        <v>34</v>
      </c>
      <c r="F24" s="18">
        <v>46273</v>
      </c>
      <c r="G24" s="18">
        <v>46279</v>
      </c>
      <c r="H24" s="17" t="s">
        <v>16</v>
      </c>
      <c r="I24" s="56" t="str">
        <f t="shared" ca="1" si="1"/>
        <v>Fora do prazo</v>
      </c>
      <c r="J24" s="16"/>
    </row>
    <row r="25" spans="1:13" ht="28.5" customHeight="1">
      <c r="A25" s="48" t="s">
        <v>32</v>
      </c>
      <c r="B25" s="49">
        <v>2610030</v>
      </c>
      <c r="C25" s="50" t="s">
        <v>67</v>
      </c>
      <c r="D25" s="51" t="s">
        <v>65</v>
      </c>
      <c r="E25" s="44" t="s">
        <v>34</v>
      </c>
      <c r="F25" s="52">
        <v>46267</v>
      </c>
      <c r="G25" s="52">
        <v>46274</v>
      </c>
      <c r="H25" s="57" t="s">
        <v>16</v>
      </c>
      <c r="I25" s="21" t="str">
        <f t="shared" ref="I25:I58" ca="1" si="2">IF(G25="","",IF(H25="Concluído","Concluído",IF(TODAY()&gt;G25,"Fora do prazo","Dentro do prazo")))</f>
        <v>Fora do prazo</v>
      </c>
      <c r="J25" s="6"/>
    </row>
    <row r="26" spans="1:13" ht="28.5">
      <c r="A26" s="16" t="s">
        <v>12</v>
      </c>
      <c r="B26" s="25">
        <v>2598767</v>
      </c>
      <c r="C26" s="15" t="s">
        <v>68</v>
      </c>
      <c r="D26" s="16" t="s">
        <v>69</v>
      </c>
      <c r="E26" s="17" t="s">
        <v>34</v>
      </c>
      <c r="F26" s="18">
        <v>46241</v>
      </c>
      <c r="G26" s="18">
        <v>46247</v>
      </c>
      <c r="H26" s="17" t="s">
        <v>20</v>
      </c>
      <c r="I26" s="21" t="s">
        <v>53</v>
      </c>
      <c r="J26" s="16"/>
    </row>
    <row r="27" spans="1:13" ht="20.25" customHeight="1">
      <c r="A27" s="26" t="s">
        <v>12</v>
      </c>
      <c r="B27" s="19">
        <v>2597798</v>
      </c>
      <c r="C27" s="20" t="s">
        <v>70</v>
      </c>
      <c r="D27" s="21" t="s">
        <v>69</v>
      </c>
      <c r="E27" s="7" t="s">
        <v>15</v>
      </c>
      <c r="F27" s="24">
        <v>46240</v>
      </c>
      <c r="G27" s="24">
        <v>46290</v>
      </c>
      <c r="H27" s="23" t="s">
        <v>71</v>
      </c>
      <c r="I27" s="21" t="str">
        <f t="shared" ca="1" si="2"/>
        <v>Dentro do prazo</v>
      </c>
      <c r="J27" s="6"/>
    </row>
    <row r="28" spans="1:13" ht="24.75" customHeight="1">
      <c r="A28" s="37" t="s">
        <v>45</v>
      </c>
      <c r="B28" s="53">
        <v>2585424</v>
      </c>
      <c r="C28" s="36" t="s">
        <v>72</v>
      </c>
      <c r="D28" s="37" t="s">
        <v>69</v>
      </c>
      <c r="E28" s="38" t="s">
        <v>15</v>
      </c>
      <c r="F28" s="39">
        <v>46210</v>
      </c>
      <c r="G28" s="39">
        <v>46223</v>
      </c>
      <c r="H28" s="38" t="s">
        <v>73</v>
      </c>
      <c r="I28" s="61" t="str">
        <f t="shared" ca="1" si="2"/>
        <v>Fora do prazo</v>
      </c>
      <c r="J28" s="16"/>
    </row>
    <row r="29" spans="1:13" ht="26.25" customHeight="1">
      <c r="A29" s="26" t="s">
        <v>45</v>
      </c>
      <c r="B29" s="19">
        <v>2615871</v>
      </c>
      <c r="C29" s="20" t="s">
        <v>74</v>
      </c>
      <c r="D29" s="21" t="s">
        <v>14</v>
      </c>
      <c r="E29" s="7" t="s">
        <v>52</v>
      </c>
      <c r="F29" s="24">
        <v>46282</v>
      </c>
      <c r="G29" s="24">
        <v>46286</v>
      </c>
      <c r="H29" s="59" t="s">
        <v>20</v>
      </c>
      <c r="I29" s="21" t="s">
        <v>53</v>
      </c>
      <c r="J29" s="60"/>
    </row>
    <row r="30" spans="1:13" ht="28.5">
      <c r="A30" s="16" t="s">
        <v>45</v>
      </c>
      <c r="B30" s="25" t="s">
        <v>75</v>
      </c>
      <c r="C30" s="15" t="s">
        <v>76</v>
      </c>
      <c r="D30" s="16" t="s">
        <v>14</v>
      </c>
      <c r="E30" s="17" t="s">
        <v>52</v>
      </c>
      <c r="F30" s="18">
        <v>46279</v>
      </c>
      <c r="G30" s="18">
        <v>46281</v>
      </c>
      <c r="H30" s="17" t="s">
        <v>20</v>
      </c>
      <c r="I30" s="62" t="s">
        <v>58</v>
      </c>
      <c r="J30" s="16"/>
    </row>
    <row r="31" spans="1:13" ht="28.5">
      <c r="A31" s="26" t="s">
        <v>12</v>
      </c>
      <c r="B31" s="19">
        <v>2615970</v>
      </c>
      <c r="C31" s="20" t="s">
        <v>77</v>
      </c>
      <c r="D31" s="21" t="s">
        <v>14</v>
      </c>
      <c r="E31" s="7" t="s">
        <v>34</v>
      </c>
      <c r="F31" s="24">
        <v>46282</v>
      </c>
      <c r="G31" s="24">
        <v>46288</v>
      </c>
      <c r="H31" s="23" t="s">
        <v>16</v>
      </c>
      <c r="I31" s="21" t="str">
        <f t="shared" ca="1" si="2"/>
        <v>Dentro do prazo</v>
      </c>
      <c r="J31" s="6"/>
    </row>
    <row r="32" spans="1:13">
      <c r="A32" s="16"/>
      <c r="B32" s="25"/>
      <c r="C32" s="15"/>
      <c r="D32" s="16"/>
      <c r="E32" s="17"/>
      <c r="F32" s="17"/>
      <c r="G32" s="18"/>
      <c r="H32" s="17"/>
      <c r="I32" s="56" t="str">
        <f t="shared" ca="1" si="2"/>
        <v/>
      </c>
      <c r="J32" s="16"/>
    </row>
    <row r="33" spans="1:10">
      <c r="A33" s="26"/>
      <c r="B33" s="19"/>
      <c r="C33" s="20"/>
      <c r="D33" s="21"/>
      <c r="E33" s="7"/>
      <c r="F33" s="24"/>
      <c r="G33" s="24"/>
      <c r="H33" s="23"/>
      <c r="I33" s="21" t="str">
        <f t="shared" ca="1" si="2"/>
        <v/>
      </c>
      <c r="J33" s="6"/>
    </row>
    <row r="34" spans="1:10">
      <c r="A34" s="16"/>
      <c r="B34" s="25"/>
      <c r="C34" s="15"/>
      <c r="D34" s="16"/>
      <c r="E34" s="17"/>
      <c r="F34" s="17"/>
      <c r="G34" s="18"/>
      <c r="H34" s="17"/>
      <c r="I34" s="56" t="str">
        <f t="shared" ca="1" si="2"/>
        <v/>
      </c>
      <c r="J34" s="16"/>
    </row>
    <row r="35" spans="1:10">
      <c r="A35" s="26"/>
      <c r="B35" s="19"/>
      <c r="C35" s="20"/>
      <c r="D35" s="21"/>
      <c r="E35" s="7"/>
      <c r="F35" s="24"/>
      <c r="G35" s="24"/>
      <c r="H35" s="23"/>
      <c r="I35" s="21" t="str">
        <f t="shared" ca="1" si="2"/>
        <v/>
      </c>
      <c r="J35" s="6"/>
    </row>
    <row r="36" spans="1:10">
      <c r="A36" s="16"/>
      <c r="B36" s="25"/>
      <c r="C36" s="15"/>
      <c r="D36" s="16"/>
      <c r="E36" s="17"/>
      <c r="F36" s="17"/>
      <c r="G36" s="18"/>
      <c r="H36" s="17"/>
      <c r="I36" s="56" t="str">
        <f t="shared" ca="1" si="2"/>
        <v/>
      </c>
      <c r="J36" s="16"/>
    </row>
    <row r="37" spans="1:10">
      <c r="A37" s="26"/>
      <c r="B37" s="19"/>
      <c r="C37" s="20"/>
      <c r="D37" s="21"/>
      <c r="E37" s="7"/>
      <c r="F37" s="24"/>
      <c r="G37" s="24"/>
      <c r="H37" s="23"/>
      <c r="I37" s="21" t="str">
        <f t="shared" ca="1" si="2"/>
        <v/>
      </c>
      <c r="J37" s="6"/>
    </row>
    <row r="38" spans="1:10">
      <c r="A38" s="16"/>
      <c r="B38" s="25"/>
      <c r="C38" s="15"/>
      <c r="D38" s="16"/>
      <c r="E38" s="17"/>
      <c r="F38" s="17"/>
      <c r="G38" s="18"/>
      <c r="H38" s="17"/>
      <c r="I38" s="56" t="str">
        <f t="shared" ca="1" si="2"/>
        <v/>
      </c>
      <c r="J38" s="16"/>
    </row>
    <row r="39" spans="1:10">
      <c r="A39" s="26"/>
      <c r="B39" s="19"/>
      <c r="C39" s="20"/>
      <c r="D39" s="21"/>
      <c r="E39" s="7"/>
      <c r="F39" s="24"/>
      <c r="G39" s="24"/>
      <c r="H39" s="23"/>
      <c r="I39" s="21" t="str">
        <f t="shared" ca="1" si="2"/>
        <v/>
      </c>
      <c r="J39" s="6"/>
    </row>
    <row r="40" spans="1:10" ht="0.75" customHeight="1">
      <c r="A40" s="16"/>
      <c r="B40" s="25"/>
      <c r="C40" s="15"/>
      <c r="D40" s="16"/>
      <c r="E40" s="17"/>
      <c r="F40" s="17"/>
      <c r="G40" s="18"/>
      <c r="H40" s="17"/>
      <c r="I40" s="56" t="str">
        <f t="shared" ca="1" si="2"/>
        <v/>
      </c>
      <c r="J40" s="16"/>
    </row>
    <row r="41" spans="1:10">
      <c r="A41" s="16"/>
      <c r="B41" s="25"/>
      <c r="C41" s="15"/>
      <c r="D41" s="16"/>
      <c r="E41" s="17"/>
      <c r="F41" s="17"/>
      <c r="G41" s="18"/>
      <c r="H41" s="17"/>
      <c r="I41" s="56" t="str">
        <f t="shared" ref="I41:I48" ca="1" si="3">IF(G41="","",IF(H41="Concluído","Concluído",IF(TODAY()&gt;G41,"Fora do prazo","Dentro do prazo")))</f>
        <v/>
      </c>
      <c r="J41" s="16"/>
    </row>
    <row r="42" spans="1:10">
      <c r="A42" s="26"/>
      <c r="B42" s="19"/>
      <c r="C42" s="20"/>
      <c r="D42" s="21"/>
      <c r="E42" s="7"/>
      <c r="F42" s="24"/>
      <c r="G42" s="24"/>
      <c r="H42" s="23"/>
      <c r="I42" s="21" t="str">
        <f t="shared" ca="1" si="3"/>
        <v/>
      </c>
      <c r="J42" s="6"/>
    </row>
    <row r="43" spans="1:10">
      <c r="A43" s="16"/>
      <c r="B43" s="25"/>
      <c r="C43" s="15"/>
      <c r="D43" s="16"/>
      <c r="E43" s="17"/>
      <c r="F43" s="17"/>
      <c r="G43" s="18"/>
      <c r="H43" s="17"/>
      <c r="I43" s="56" t="str">
        <f t="shared" ca="1" si="3"/>
        <v/>
      </c>
      <c r="J43" s="16"/>
    </row>
    <row r="44" spans="1:10">
      <c r="A44" s="26"/>
      <c r="B44" s="19"/>
      <c r="C44" s="20"/>
      <c r="D44" s="21"/>
      <c r="E44" s="7"/>
      <c r="F44" s="24"/>
      <c r="G44" s="24"/>
      <c r="H44" s="23"/>
      <c r="I44" s="21" t="str">
        <f t="shared" ca="1" si="3"/>
        <v/>
      </c>
      <c r="J44" s="6"/>
    </row>
    <row r="45" spans="1:10">
      <c r="A45" s="16"/>
      <c r="B45" s="25"/>
      <c r="C45" s="15"/>
      <c r="D45" s="16"/>
      <c r="E45" s="17"/>
      <c r="F45" s="17"/>
      <c r="G45" s="18"/>
      <c r="H45" s="17"/>
      <c r="I45" s="56" t="str">
        <f t="shared" ca="1" si="3"/>
        <v/>
      </c>
      <c r="J45" s="16"/>
    </row>
    <row r="46" spans="1:10">
      <c r="A46" s="26"/>
      <c r="B46" s="19"/>
      <c r="C46" s="20"/>
      <c r="D46" s="21"/>
      <c r="E46" s="7"/>
      <c r="F46" s="24"/>
      <c r="G46" s="24"/>
      <c r="H46" s="23"/>
      <c r="I46" s="21" t="str">
        <f t="shared" ca="1" si="3"/>
        <v/>
      </c>
      <c r="J46" s="6"/>
    </row>
    <row r="47" spans="1:10">
      <c r="A47" s="16"/>
      <c r="B47" s="25"/>
      <c r="C47" s="15"/>
      <c r="D47" s="16"/>
      <c r="E47" s="17"/>
      <c r="F47" s="17"/>
      <c r="G47" s="18"/>
      <c r="H47" s="17"/>
      <c r="I47" s="56" t="str">
        <f t="shared" ca="1" si="3"/>
        <v/>
      </c>
      <c r="J47" s="16"/>
    </row>
    <row r="48" spans="1:10">
      <c r="A48" s="26"/>
      <c r="B48" s="19"/>
      <c r="C48" s="20"/>
      <c r="D48" s="21"/>
      <c r="E48" s="7"/>
      <c r="F48" s="24"/>
      <c r="G48" s="24"/>
      <c r="H48" s="23"/>
      <c r="I48" s="21" t="str">
        <f t="shared" ca="1" si="3"/>
        <v/>
      </c>
      <c r="J48" s="6"/>
    </row>
    <row r="49" spans="1:10">
      <c r="A49" s="16"/>
      <c r="B49" s="25"/>
      <c r="C49" s="15"/>
      <c r="D49" s="16"/>
      <c r="E49" s="17"/>
      <c r="F49" s="18"/>
      <c r="G49" s="18"/>
      <c r="H49" s="17"/>
      <c r="I49" s="56" t="str">
        <f t="shared" ca="1" si="2"/>
        <v/>
      </c>
      <c r="J49" s="16"/>
    </row>
    <row r="50" spans="1:10">
      <c r="A50" s="26"/>
      <c r="B50" s="19"/>
      <c r="C50" s="20"/>
      <c r="D50" s="21"/>
      <c r="E50" s="7"/>
      <c r="F50" s="24"/>
      <c r="G50" s="24"/>
      <c r="H50" s="23"/>
      <c r="I50" s="23"/>
      <c r="J50" s="6"/>
    </row>
    <row r="51" spans="1:10">
      <c r="A51" s="16"/>
      <c r="B51" s="25"/>
      <c r="C51" s="15"/>
      <c r="D51" s="16"/>
      <c r="E51" s="17"/>
      <c r="F51" s="18"/>
      <c r="G51" s="18"/>
      <c r="H51" s="17"/>
      <c r="I51" s="56" t="str">
        <f t="shared" ref="I51:I52" ca="1" si="4">IF(G51="","",IF(H51="Concluído","Concluído",IF(TODAY()&gt;G51,"Fora do prazo","Dentro do prazo")))</f>
        <v/>
      </c>
      <c r="J51" s="16"/>
    </row>
    <row r="52" spans="1:10">
      <c r="A52" s="26"/>
      <c r="B52" s="19"/>
      <c r="C52" s="20"/>
      <c r="D52" s="21"/>
      <c r="E52" s="7"/>
      <c r="F52" s="24"/>
      <c r="G52" s="24"/>
      <c r="H52" s="23"/>
      <c r="I52" s="23"/>
      <c r="J52" s="6"/>
    </row>
    <row r="53" spans="1:10">
      <c r="A53" s="26"/>
      <c r="B53" s="19"/>
      <c r="C53" s="20"/>
      <c r="D53" s="21"/>
      <c r="E53" s="7"/>
      <c r="F53" s="24"/>
      <c r="G53" s="24"/>
      <c r="H53" s="23"/>
      <c r="I53" s="23"/>
    </row>
    <row r="54" spans="1:10">
      <c r="I54" s="58" t="str">
        <f t="shared" ca="1" si="2"/>
        <v/>
      </c>
    </row>
    <row r="55" spans="1:10">
      <c r="I55" s="58" t="str">
        <f t="shared" ca="1" si="2"/>
        <v/>
      </c>
    </row>
    <row r="56" spans="1:10">
      <c r="I56" s="58" t="str">
        <f t="shared" ca="1" si="2"/>
        <v/>
      </c>
    </row>
    <row r="57" spans="1:10">
      <c r="I57" s="58" t="str">
        <f t="shared" ca="1" si="2"/>
        <v/>
      </c>
    </row>
    <row r="58" spans="1:10">
      <c r="I58" s="58" t="str">
        <f t="shared" ca="1" si="2"/>
        <v/>
      </c>
    </row>
  </sheetData>
  <autoFilter ref="A4:Q40" xr:uid="{00000000-0001-0000-0000-000000000000}"/>
  <mergeCells count="2">
    <mergeCell ref="A1:I1"/>
    <mergeCell ref="A2:I2"/>
  </mergeCells>
  <conditionalFormatting sqref="B1:B1048576">
    <cfRule type="duplicateValues" dxfId="2" priority="3"/>
  </conditionalFormatting>
  <conditionalFormatting sqref="I54:I1048576 I51 I1:I49">
    <cfRule type="containsText" dxfId="1" priority="2" operator="containsText" text="Fora do prazo">
      <formula>NOT(ISERROR(SEARCH("Fora do prazo",I1)))</formula>
    </cfRule>
  </conditionalFormatting>
  <conditionalFormatting sqref="I54:I1048576 I51 I1:I49">
    <cfRule type="containsText" dxfId="0" priority="1" operator="containsText" text="Resolvido">
      <formula>NOT(ISERROR(SEARCH("Resolvido",I1)))</formula>
    </cfRule>
  </conditionalFormatting>
  <dataValidations count="4">
    <dataValidation type="list" allowBlank="1" error="Escolha um status da lista." prompt="Selecione o status atual" sqref="H7" xr:uid="{00000000-0002-0000-0000-000001000000}">
      <formula1>"Aberto,Em andamento,Aguardando terceiros,Concluído"</formula1>
      <formula2>0</formula2>
    </dataValidation>
    <dataValidation type="list" allowBlank="1" showInputMessage="1" showErrorMessage="1" sqref="E58:E60" xr:uid="{8E6EC6B2-B448-454F-8F69-A4431B882EA2}">
      <formula1>"Baixa;Normal,Média;Alta;Máxima;Não se aplica"</formula1>
    </dataValidation>
    <dataValidation type="list" allowBlank="1" showInputMessage="1" showErrorMessage="1" sqref="D1:D1048576" xr:uid="{1E6362D0-299A-4556-91AE-E38C416F9F6D}">
      <formula1>"Júlia,Niécia,Daniel,Goldim,Alexia"</formula1>
    </dataValidation>
    <dataValidation type="list" allowBlank="1" showInputMessage="1" showErrorMessage="1" sqref="E5:E57" xr:uid="{2C844C3A-367A-4A00-9A1A-CB595F36117B}">
      <formula1>"Baixa,Normal,Média,Alta,Máxima,Não se aplica"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showGridLines="0" zoomScaleNormal="100" workbookViewId="0">
      <selection activeCell="P2" sqref="P2"/>
    </sheetView>
  </sheetViews>
  <sheetFormatPr defaultColWidth="8.7109375" defaultRowHeight="15"/>
  <cols>
    <col min="1" max="4" width="12" customWidth="1"/>
  </cols>
  <sheetData>
    <row r="1" spans="1:8" ht="25.5" customHeight="1">
      <c r="A1" s="65" t="s">
        <v>78</v>
      </c>
      <c r="B1" s="65"/>
      <c r="C1" s="65"/>
      <c r="D1" s="65"/>
      <c r="E1" s="65"/>
      <c r="F1" s="65"/>
      <c r="G1" s="65"/>
      <c r="H1" s="65"/>
    </row>
    <row r="2" spans="1:8">
      <c r="A2" s="64"/>
      <c r="B2" s="64"/>
      <c r="C2" s="64"/>
      <c r="D2" s="64"/>
      <c r="E2" s="64"/>
      <c r="F2" s="64"/>
      <c r="G2" s="64"/>
      <c r="H2" s="64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2026-09-01T12:44:33Z</dcterms:created>
  <dcterms:modified xsi:type="dcterms:W3CDTF">2026-09-21T11:32:20Z</dcterms:modified>
  <cp:category/>
  <cp:contentStatus/>
</cp:coreProperties>
</file>